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ob Tracker" sheetId="1" state="visible" r:id="rId1"/>
    <sheet name="Dashboard" sheetId="2" state="visible" r:id="rId2"/>
    <sheet name="How To Use" sheetId="3" state="visible" r:id="rId3"/>
  </sheets>
  <definedNames>
    <definedName name="_xlnm._FilterDatabase" localSheetId="0" hidden="1">'Job Tracker'!$A$1:$P$34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563C1"/>
      <sz val="10"/>
      <u val="single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Calibri"/>
      <family val="2"/>
      <color theme="10"/>
      <sz val="11"/>
      <u val="single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4" fontId="2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8" fillId="0" borderId="1" applyAlignment="1" pivotButton="0" quotePrefix="0" xfId="1">
      <alignment vertical="center"/>
    </xf>
    <xf numFmtId="0" fontId="0" fillId="0" borderId="0" applyAlignment="1" pivotButton="0" quotePrefix="0" xfId="0">
      <alignment horizontal="left" vertical="center" inden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malayas.app/companies/mgid/jobs/technical-account-manager-rtb" TargetMode="External" Id="rId1" /><Relationship Type="http://schemas.openxmlformats.org/officeDocument/2006/relationships/hyperlink" Target="https://job-boards.eu.greenhouse.io/e2openllc/jobs/4558762101" TargetMode="External" Id="rId2" /><Relationship Type="http://schemas.openxmlformats.org/officeDocument/2006/relationships/hyperlink" Target="https://himalayas.app/companies/chainstack/jobs/account-manager" TargetMode="External" Id="rId3" /><Relationship Type="http://schemas.openxmlformats.org/officeDocument/2006/relationships/hyperlink" Target="https://himalayas.app/companies/gr8-tech/jobs/senior-account-manager" TargetMode="External" Id="rId4" /><Relationship Type="http://schemas.openxmlformats.org/officeDocument/2006/relationships/hyperlink" Target="https://himalayas.app/companies/unipesa/jobs/key-account-manager" TargetMode="External" Id="rId5" /><Relationship Type="http://schemas.openxmlformats.org/officeDocument/2006/relationships/hyperlink" Target="https://weworkremotely.com/remote-jobs/customer-io-account-manager-emea" TargetMode="External" Id="rId6" /><Relationship Type="http://schemas.openxmlformats.org/officeDocument/2006/relationships/hyperlink" Target="https://himalayas.app/companies/choice/jobs/customer-success-manager" TargetMode="External" Id="rId7" /><Relationship Type="http://schemas.openxmlformats.org/officeDocument/2006/relationships/hyperlink" Target="https://himalayas.app/companies/talent-sam/jobs/customer-success-manager-75585815" TargetMode="External" Id="rId8" /><Relationship Type="http://schemas.openxmlformats.org/officeDocument/2006/relationships/hyperlink" Target="https://ccdep.peopleforce.io/careers/v/97188-customer-care-success-manager/a/new" TargetMode="External" Id="rId9" /><Relationship Type="http://schemas.openxmlformats.org/officeDocument/2006/relationships/hyperlink" Target="https://himalayas.app/companies/amplemarket/jobs/senior-customer-success-manager-1537547831" TargetMode="External" Id="rId10" /><Relationship Type="http://schemas.openxmlformats.org/officeDocument/2006/relationships/hyperlink" Target="https://weworkremotely.com/remote-jobs/customer-io-customer-success-manager-emea" TargetMode="External" Id="rId11" /><Relationship Type="http://schemas.openxmlformats.org/officeDocument/2006/relationships/hyperlink" Target="https://remotive.com/remote/jobs/customer-service/associate-customer-success-manager-4529059" TargetMode="External" Id="rId12" /><Relationship Type="http://schemas.openxmlformats.org/officeDocument/2006/relationships/hyperlink" Target="https://himalayas.app/companies/koronet/jobs/customer-transformation-specialist" TargetMode="External" Id="rId13" /><Relationship Type="http://schemas.openxmlformats.org/officeDocument/2006/relationships/hyperlink" Target="https://himalayas.app/companies/cotiviti/jobs/senior-implementation-consultant" TargetMode="External" Id="rId14" /><Relationship Type="http://schemas.openxmlformats.org/officeDocument/2006/relationships/hyperlink" Target="https://www.himalayas.app/companies/affirmedrx-pbc/jobs/client-implementation-manager" TargetMode="External" Id="rId15" /><Relationship Type="http://schemas.openxmlformats.org/officeDocument/2006/relationships/hyperlink" Target="https://himalayas.app/companies/softengine/jobs/sap-business-one-acumatica-project-manager" TargetMode="External" Id="rId16" /><Relationship Type="http://schemas.openxmlformats.org/officeDocument/2006/relationships/hyperlink" Target="https://himalayas.app/companies/shield-technology-partners/jobs/acumatica-consultant-manufacturing" TargetMode="External" Id="rId17" /><Relationship Type="http://schemas.openxmlformats.org/officeDocument/2006/relationships/hyperlink" Target="https://himalayas.app/companies/onclarity/jobs/sap-brim-ci-functional-consultant" TargetMode="External" Id="rId18" /><Relationship Type="http://schemas.openxmlformats.org/officeDocument/2006/relationships/hyperlink" Target="https://himalayas.app/companies/onclarity/jobs/sap-brim-som-functional-consultant" TargetMode="External" Id="rId19" /><Relationship Type="http://schemas.openxmlformats.org/officeDocument/2006/relationships/hyperlink" Target="https://himalayas.app/companies/transcom/jobs/principal-sap-functional-specialist" TargetMode="External" Id="rId20" /><Relationship Type="http://schemas.openxmlformats.org/officeDocument/2006/relationships/hyperlink" Target="https://himalayas.app/companies/vizx-global/jobs/solutions-intergration-specialist" TargetMode="External" Id="rId21" /><Relationship Type="http://schemas.openxmlformats.org/officeDocument/2006/relationships/hyperlink" Target="https://himalayas.app/companies/strongpoint-partners/jobs/onboarding-specialist-tfg" TargetMode="External" Id="rId22" /><Relationship Type="http://schemas.openxmlformats.org/officeDocument/2006/relationships/hyperlink" Target="https://himalayas.app/companies/spotter-labs/jobs/remote-customer-onboarding-support-specialist" TargetMode="External" Id="rId23" /><Relationship Type="http://schemas.openxmlformats.org/officeDocument/2006/relationships/hyperlink" Target="https://himalayas.app/companies/choice/jobs/onboarding-manager" TargetMode="External" Id="rId24" /><Relationship Type="http://schemas.openxmlformats.org/officeDocument/2006/relationships/hyperlink" Target="https://himalayas.app/companies/hiddenlayer/jobs/technical-support-engineer" TargetMode="External" Id="rId25" /><Relationship Type="http://schemas.openxmlformats.org/officeDocument/2006/relationships/hyperlink" Target="https://himalayas.app/companies/reality-defender/jobs/customer-support-engineer" TargetMode="External" Id="rId26" /><Relationship Type="http://schemas.openxmlformats.org/officeDocument/2006/relationships/hyperlink" Target="https://job-boards.greenhouse.io/automatticcareers/jobs/6216089" TargetMode="External" Id="rId27" /><Relationship Type="http://schemas.openxmlformats.org/officeDocument/2006/relationships/hyperlink" Target="https://himalayas.app/companies/dachs-it/jobs/support-engineer-managed-services-m-w-d" TargetMode="External" Id="rId28" /><Relationship Type="http://schemas.openxmlformats.org/officeDocument/2006/relationships/hyperlink" Target="https://himalayas.app/companies/growe/jobs/l1-l2-service-desk-engineer" TargetMode="External" Id="rId29" /><Relationship Type="http://schemas.openxmlformats.org/officeDocument/2006/relationships/hyperlink" Target="https://himalayas.app/companies/dwelly/jobs/it-support-engineer" TargetMode="External" Id="rId30" /><Relationship Type="http://schemas.openxmlformats.org/officeDocument/2006/relationships/hyperlink" Target="https://himalayas.app/companies/cookunity/jobs/product-support-engineer" TargetMode="External" Id="rId31" /><Relationship Type="http://schemas.openxmlformats.org/officeDocument/2006/relationships/hyperlink" Target="https://himalayas.app/companies/aline/jobs/support-product-support-specialist-8041571198" TargetMode="External" Id="rId32" /><Relationship Type="http://schemas.openxmlformats.org/officeDocument/2006/relationships/hyperlink" Target="https://weworkremotely.com/remote-jobs/twilio-manager-technical-support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tabSelected="1" topLeftCell="D1" workbookViewId="0">
      <pane ySplit="1" topLeftCell="A2" activePane="bottomLeft" state="frozen"/>
      <selection pane="bottomLeft" activeCell="N6" sqref="N6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16" customWidth="1" min="4" max="4"/>
    <col width="26" customWidth="1" min="5" max="5"/>
    <col width="22" customWidth="1" min="6" max="6"/>
    <col width="9" customWidth="1" min="7" max="7"/>
    <col width="11" customWidth="1" min="8" max="8"/>
    <col width="40" customWidth="1" min="9" max="9"/>
    <col width="14" customWidth="1" min="10" max="10"/>
    <col width="12" customWidth="1" min="11" max="11"/>
    <col width="42" customWidth="1" min="12" max="12"/>
    <col width="22" customWidth="1" min="13" max="13"/>
    <col width="13" customWidth="1" min="14" max="15"/>
    <col width="24" customWidth="1" min="16" max="16"/>
  </cols>
  <sheetData>
    <row r="1" ht="27.95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Role Bucket</t>
        </is>
      </c>
      <c r="E1" s="1" t="inlineStr">
        <is>
          <t>Remote Scope</t>
        </is>
      </c>
      <c r="F1" s="1" t="inlineStr">
        <is>
          <t>Salary (as listed)</t>
        </is>
      </c>
      <c r="G1" s="1" t="inlineStr">
        <is>
          <t>Priority</t>
        </is>
      </c>
      <c r="H1" s="1" t="inlineStr">
        <is>
          <t>Suggested CV</t>
        </is>
      </c>
      <c r="I1" s="1" t="inlineStr">
        <is>
          <t>Eligibility / Fit Notes</t>
        </is>
      </c>
      <c r="J1" s="1" t="inlineStr">
        <is>
          <t>Source Board</t>
        </is>
      </c>
      <c r="K1" s="1" t="inlineStr">
        <is>
          <t>Posted Date</t>
        </is>
      </c>
      <c r="L1" s="1" t="inlineStr">
        <is>
          <t>Job URL</t>
        </is>
      </c>
      <c r="M1" s="1" t="inlineStr">
        <is>
          <t>Apply Method</t>
        </is>
      </c>
      <c r="N1" s="1" t="inlineStr">
        <is>
          <t>Status</t>
        </is>
      </c>
      <c r="O1" s="1" t="inlineStr">
        <is>
          <t>Date Applied</t>
        </is>
      </c>
      <c r="P1" s="1" t="inlineStr">
        <is>
          <t>Notes</t>
        </is>
      </c>
    </row>
    <row r="2" ht="25.5" customHeight="1">
      <c r="A2" s="2" t="n">
        <v>1</v>
      </c>
      <c r="B2" s="3" t="inlineStr">
        <is>
          <t>Technical Account Manager (RTB)</t>
        </is>
      </c>
      <c r="C2" s="2" t="inlineStr">
        <is>
          <t>MGID</t>
        </is>
      </c>
      <c r="D2" s="2" t="inlineStr">
        <is>
          <t>TAM</t>
        </is>
      </c>
      <c r="E2" s="2" t="inlineStr">
        <is>
          <t>Worldwide (platform tag)</t>
        </is>
      </c>
      <c r="F2" s="2" t="inlineStr">
        <is>
          <t>Not listed</t>
        </is>
      </c>
      <c r="G2" s="4" t="inlineStr">
        <is>
          <t>Medium</t>
        </is>
      </c>
      <c r="H2" s="2" t="inlineStr">
        <is>
          <t>TAM</t>
        </is>
      </c>
      <c r="I2" s="3" t="inlineStr">
        <is>
          <t>Verify country eligibility on employer's own careers page before applying.</t>
        </is>
      </c>
      <c r="J2" s="2" t="inlineStr">
        <is>
          <t>Himalayas</t>
        </is>
      </c>
      <c r="K2" s="2" t="inlineStr">
        <is>
          <t>2026-08-06</t>
        </is>
      </c>
      <c r="L2" s="5" t="inlineStr">
        <is>
          <t>https://himalayas.app/companies/mgid/jobs/technical-account-manager-rtb</t>
        </is>
      </c>
      <c r="M2" s="3" t="inlineStr">
        <is>
          <t>Apply via Himalayas listing</t>
        </is>
      </c>
      <c r="N2" s="2" t="inlineStr">
        <is>
          <t>To Review</t>
        </is>
      </c>
      <c r="O2" s="2" t="n"/>
      <c r="P2" s="3" t="inlineStr">
        <is>
          <t>irralevent</t>
        </is>
      </c>
    </row>
    <row r="3" ht="38.25" customHeight="1">
      <c r="A3" s="2" t="n">
        <v>2</v>
      </c>
      <c r="B3" s="3" t="inlineStr">
        <is>
          <t>Technical Account Manager, EMEA</t>
        </is>
      </c>
      <c r="C3" s="2" t="inlineStr">
        <is>
          <t>e2open</t>
        </is>
      </c>
      <c r="D3" s="2" t="inlineStr">
        <is>
          <t>TAM</t>
        </is>
      </c>
      <c r="E3" s="2" t="inlineStr">
        <is>
          <t>EMEA (region-restricted)</t>
        </is>
      </c>
      <c r="F3" s="2" t="inlineStr">
        <is>
          <t>Not listed</t>
        </is>
      </c>
      <c r="G3" s="4" t="inlineStr">
        <is>
          <t>Medium</t>
        </is>
      </c>
      <c r="H3" s="2" t="inlineStr">
        <is>
          <t>TAM</t>
        </is>
      </c>
      <c r="I3" s="3" t="inlineStr">
        <is>
          <t>EMEA scope may fit MENA; role skews US-logistics domain knowledge, worth tailoring CV summary.</t>
        </is>
      </c>
      <c r="J3" s="2" t="inlineStr">
        <is>
          <t>Greenhouse (EU)</t>
        </is>
      </c>
      <c r="K3" s="2" t="n"/>
      <c r="L3" s="5" t="inlineStr">
        <is>
          <t>https://job-boards.eu.greenhouse.io/e2openllc/jobs/4558762101</t>
        </is>
      </c>
      <c r="M3" s="3" t="inlineStr">
        <is>
          <t>Apply via Greenhouse</t>
        </is>
      </c>
      <c r="N3" s="2" t="inlineStr">
        <is>
          <t>To Review</t>
        </is>
      </c>
      <c r="O3" s="2" t="n"/>
      <c r="P3" s="3" t="inlineStr">
        <is>
          <t>The job you are looking for is no longer open.</t>
        </is>
      </c>
    </row>
    <row r="4" ht="25.5" customHeight="1">
      <c r="A4" s="2" t="n">
        <v>3</v>
      </c>
      <c r="B4" s="3" t="inlineStr">
        <is>
          <t>Account Manager (TAM-style)</t>
        </is>
      </c>
      <c r="C4" s="2" t="inlineStr">
        <is>
          <t>Chainstack</t>
        </is>
      </c>
      <c r="D4" s="2" t="inlineStr">
        <is>
          <t>TAM</t>
        </is>
      </c>
      <c r="E4" s="2" t="inlineStr">
        <is>
          <t>Worldwide (platform tag)</t>
        </is>
      </c>
      <c r="F4" s="2" t="inlineStr">
        <is>
          <t>Not listed</t>
        </is>
      </c>
      <c r="G4" s="4" t="inlineStr">
        <is>
          <t>Medium</t>
        </is>
      </c>
      <c r="H4" s="2" t="inlineStr">
        <is>
          <t>TAM</t>
        </is>
      </c>
      <c r="I4" s="3" t="inlineStr">
        <is>
          <t>Crypto/blockchain infra domain; general TAM skills transfer.</t>
        </is>
      </c>
      <c r="J4" s="2" t="inlineStr">
        <is>
          <t>Himalayas</t>
        </is>
      </c>
      <c r="K4" s="2" t="inlineStr">
        <is>
          <t>2026-07-29</t>
        </is>
      </c>
      <c r="L4" s="5" t="inlineStr">
        <is>
          <t>https://himalayas.app/companies/chainstack/jobs/account-manager</t>
        </is>
      </c>
      <c r="M4" s="3" t="inlineStr">
        <is>
          <t>Apply via Himalayas listing</t>
        </is>
      </c>
      <c r="N4" s="2" t="inlineStr">
        <is>
          <t>To Review</t>
        </is>
      </c>
      <c r="O4" s="2" t="n"/>
      <c r="P4" s="13" t="inlineStr">
        <is>
          <t>US only</t>
        </is>
      </c>
    </row>
    <row r="5" ht="25.5" customHeight="1">
      <c r="A5" s="2" t="n">
        <v>4</v>
      </c>
      <c r="B5" s="3" t="inlineStr">
        <is>
          <t>Senior Account Manager</t>
        </is>
      </c>
      <c r="C5" s="2" t="inlineStr">
        <is>
          <t>GR8 Tech</t>
        </is>
      </c>
      <c r="D5" s="2" t="inlineStr">
        <is>
          <t>TAM</t>
        </is>
      </c>
      <c r="E5" s="2" t="inlineStr">
        <is>
          <t>Worldwide (platform tag)</t>
        </is>
      </c>
      <c r="F5" s="2" t="inlineStr">
        <is>
          <t>Not listed</t>
        </is>
      </c>
      <c r="G5" s="6" t="inlineStr">
        <is>
          <t>Low</t>
        </is>
      </c>
      <c r="H5" s="2" t="inlineStr">
        <is>
          <t>TAM</t>
        </is>
      </c>
      <c r="I5" s="3" t="inlineStr">
        <is>
          <t>Requires Russian/Ukrainian fluency - likely poor fit.</t>
        </is>
      </c>
      <c r="J5" s="2" t="inlineStr">
        <is>
          <t>Himalayas</t>
        </is>
      </c>
      <c r="K5" s="2" t="inlineStr">
        <is>
          <t>2026-06-26</t>
        </is>
      </c>
      <c r="L5" s="5" t="inlineStr">
        <is>
          <t>https://himalayas.app/companies/gr8-tech/jobs/senior-account-manager</t>
        </is>
      </c>
      <c r="M5" s="3" t="inlineStr">
        <is>
          <t>Apply via Himalayas listing</t>
        </is>
      </c>
      <c r="N5" s="2" t="inlineStr">
        <is>
          <t>To Review</t>
        </is>
      </c>
      <c r="O5" s="2" t="n"/>
      <c r="P5" s="13" t="inlineStr">
        <is>
          <t>Russian or Ukrainian lang needed</t>
        </is>
      </c>
    </row>
    <row r="6" ht="25.5" customHeight="1">
      <c r="A6" s="2" t="n">
        <v>5</v>
      </c>
      <c r="B6" s="3" t="inlineStr">
        <is>
          <t>Key Account Manager</t>
        </is>
      </c>
      <c r="C6" s="2" t="inlineStr">
        <is>
          <t>Unipesa</t>
        </is>
      </c>
      <c r="D6" s="2" t="inlineStr">
        <is>
          <t>TAM</t>
        </is>
      </c>
      <c r="E6" s="2" t="inlineStr">
        <is>
          <t>Worldwide (platform tag)</t>
        </is>
      </c>
      <c r="F6" s="2" t="inlineStr">
        <is>
          <t>Not listed</t>
        </is>
      </c>
      <c r="G6" s="4" t="inlineStr">
        <is>
          <t>Medium</t>
        </is>
      </c>
      <c r="H6" s="2" t="inlineStr">
        <is>
          <t>TAM</t>
        </is>
      </c>
      <c r="I6" s="3" t="inlineStr">
        <is>
          <t>Verify country eligibility before applying.</t>
        </is>
      </c>
      <c r="J6" s="2" t="inlineStr">
        <is>
          <t>Himalayas</t>
        </is>
      </c>
      <c r="K6" s="2" t="inlineStr">
        <is>
          <t>2026-08-07</t>
        </is>
      </c>
      <c r="L6" s="5" t="inlineStr">
        <is>
          <t>https://himalayas.app/companies/unipesa/jobs/key-account-manager</t>
        </is>
      </c>
      <c r="M6" s="3" t="inlineStr">
        <is>
          <t>Apply via Himalayas listing</t>
        </is>
      </c>
      <c r="N6" s="2" t="inlineStr">
        <is>
          <t>Applied</t>
        </is>
      </c>
      <c r="O6" s="12" t="n">
        <v>46249</v>
      </c>
      <c r="P6" s="3" t="n"/>
    </row>
    <row r="7" ht="25.5" customHeight="1">
      <c r="A7" s="2" t="n">
        <v>6</v>
      </c>
      <c r="B7" s="3" t="inlineStr">
        <is>
          <t>Account Manager, EMEA</t>
        </is>
      </c>
      <c r="C7" s="2" t="inlineStr">
        <is>
          <t>Customer.io</t>
        </is>
      </c>
      <c r="D7" s="2" t="inlineStr">
        <is>
          <t>TAM</t>
        </is>
      </c>
      <c r="E7" s="2" t="inlineStr">
        <is>
          <t>EMEA remote</t>
        </is>
      </c>
      <c r="F7" s="2" t="inlineStr">
        <is>
          <t>$80.5K base + $34.5K variable (OTE ~$115K)</t>
        </is>
      </c>
      <c r="G7" s="4" t="inlineStr">
        <is>
          <t>Medium</t>
        </is>
      </c>
      <c r="H7" s="2" t="inlineStr">
        <is>
          <t>TAM</t>
        </is>
      </c>
      <c r="I7" s="3" t="inlineStr">
        <is>
          <t>Salary well above target - room to negotiate down or use as anchor for other offers.</t>
        </is>
      </c>
      <c r="J7" s="2" t="inlineStr">
        <is>
          <t>We Work Remotely</t>
        </is>
      </c>
      <c r="K7" s="2" t="n"/>
      <c r="L7" s="5" t="inlineStr">
        <is>
          <t>https://weworkremotely.com/remote-jobs/customer-io-account-manager-emea</t>
        </is>
      </c>
      <c r="M7" s="3" t="inlineStr">
        <is>
          <t>Apply via WWR listing</t>
        </is>
      </c>
      <c r="N7" s="2" t="inlineStr">
        <is>
          <t>To Review</t>
        </is>
      </c>
      <c r="O7" s="2" t="n"/>
      <c r="P7" s="3" t="inlineStr">
        <is>
          <t>irralevent</t>
        </is>
      </c>
    </row>
    <row r="8" ht="25.5" customHeight="1">
      <c r="A8" s="2" t="n">
        <v>7</v>
      </c>
      <c r="B8" s="3" t="inlineStr">
        <is>
          <t>Customer Success Manager</t>
        </is>
      </c>
      <c r="C8" s="2" t="inlineStr">
        <is>
          <t>Choice (food-tech B2B SaaS)</t>
        </is>
      </c>
      <c r="D8" s="2" t="inlineStr">
        <is>
          <t>Customer Success</t>
        </is>
      </c>
      <c r="E8" s="2" t="inlineStr">
        <is>
          <t>Worldwide (platform tag)</t>
        </is>
      </c>
      <c r="F8" s="2" t="inlineStr">
        <is>
          <t>Not listed</t>
        </is>
      </c>
      <c r="G8" s="4" t="inlineStr">
        <is>
          <t>Medium</t>
        </is>
      </c>
      <c r="H8" s="2" t="inlineStr">
        <is>
          <t>CS</t>
        </is>
      </c>
      <c r="I8" s="3" t="inlineStr">
        <is>
          <t>Verify country eligibility before applying.</t>
        </is>
      </c>
      <c r="J8" s="2" t="inlineStr">
        <is>
          <t>Himalayas</t>
        </is>
      </c>
      <c r="K8" s="2" t="inlineStr">
        <is>
          <t>2026-08-07</t>
        </is>
      </c>
      <c r="L8" s="5" t="inlineStr">
        <is>
          <t>https://himalayas.app/companies/choice/jobs/customer-success-manager</t>
        </is>
      </c>
      <c r="M8" s="3" t="inlineStr">
        <is>
          <t>Apply via Himalayas listing</t>
        </is>
      </c>
      <c r="N8" s="2" t="inlineStr">
        <is>
          <t>Applied</t>
        </is>
      </c>
      <c r="O8" s="12" t="n">
        <v>46249</v>
      </c>
      <c r="P8" s="3" t="n"/>
    </row>
    <row r="9" ht="25.5" customHeight="1">
      <c r="A9" s="2" t="n">
        <v>8</v>
      </c>
      <c r="B9" s="3" t="inlineStr">
        <is>
          <t>Customer Success Manager</t>
        </is>
      </c>
      <c r="C9" s="2" t="inlineStr">
        <is>
          <t>Talent Sam</t>
        </is>
      </c>
      <c r="D9" s="2" t="inlineStr">
        <is>
          <t>Customer Success</t>
        </is>
      </c>
      <c r="E9" s="2" t="inlineStr">
        <is>
          <t>Worldwide (platform tag)</t>
        </is>
      </c>
      <c r="F9" s="2" t="inlineStr">
        <is>
          <t>Not listed</t>
        </is>
      </c>
      <c r="G9" s="4" t="inlineStr">
        <is>
          <t>Medium</t>
        </is>
      </c>
      <c r="H9" s="2" t="inlineStr">
        <is>
          <t>CS</t>
        </is>
      </c>
      <c r="I9" s="3" t="inlineStr">
        <is>
          <t>Verify country eligibility before applying.</t>
        </is>
      </c>
      <c r="J9" s="2" t="inlineStr">
        <is>
          <t>Himalayas</t>
        </is>
      </c>
      <c r="K9" s="2" t="inlineStr">
        <is>
          <t>2026-07-25</t>
        </is>
      </c>
      <c r="L9" s="5" t="inlineStr">
        <is>
          <t>https://himalayas.app/companies/talent-sam/jobs/customer-success-manager-75585815</t>
        </is>
      </c>
      <c r="M9" s="3" t="inlineStr">
        <is>
          <t>Apply via Himalayas listing</t>
        </is>
      </c>
      <c r="N9" s="2" t="inlineStr">
        <is>
          <t>To Review</t>
        </is>
      </c>
      <c r="P9" s="3" t="inlineStr">
        <is>
          <t>South America required</t>
        </is>
      </c>
    </row>
    <row r="10" ht="25.5" customHeight="1">
      <c r="A10" s="2" t="n">
        <v>9</v>
      </c>
      <c r="B10" s="3" t="inlineStr">
        <is>
          <t>Customer Care (Success) Manager</t>
        </is>
      </c>
      <c r="C10" s="2" t="inlineStr">
        <is>
          <t>King Group (iGaming)</t>
        </is>
      </c>
      <c r="D10" s="2" t="inlineStr">
        <is>
          <t>Customer Success</t>
        </is>
      </c>
      <c r="E10" s="2" t="inlineStr">
        <is>
          <t>Worldwide, WFH</t>
        </is>
      </c>
      <c r="F10" s="2" t="inlineStr">
        <is>
          <t>Not listed</t>
        </is>
      </c>
      <c r="G10" s="4" t="inlineStr">
        <is>
          <t>Medium</t>
        </is>
      </c>
      <c r="H10" s="2" t="inlineStr">
        <is>
          <t>CS</t>
        </is>
      </c>
      <c r="I10" s="3" t="inlineStr">
        <is>
          <t>iGaming domain; general CS skills transfer.</t>
        </is>
      </c>
      <c r="J10" s="2" t="inlineStr">
        <is>
          <t>Himalayas</t>
        </is>
      </c>
      <c r="K10" s="2" t="inlineStr">
        <is>
          <t>2026-08-07</t>
        </is>
      </c>
      <c r="L10" s="5" t="inlineStr">
        <is>
          <t>https://ccdep.peopleforce.io/careers/v/97188-customer-care-success-manager/a/new</t>
        </is>
      </c>
      <c r="M10" s="3" t="inlineStr">
        <is>
          <t>Apply via PeopleForce form</t>
        </is>
      </c>
      <c r="N10" s="2" t="inlineStr">
        <is>
          <t>Applied</t>
        </is>
      </c>
      <c r="O10" s="12" t="n">
        <v>46250</v>
      </c>
      <c r="P10" s="3" t="n"/>
    </row>
    <row r="11" ht="38.25" customHeight="1">
      <c r="A11" s="2" t="n">
        <v>10</v>
      </c>
      <c r="B11" s="3" t="inlineStr">
        <is>
          <t>Senior Customer Success Manager</t>
        </is>
      </c>
      <c r="C11" s="2" t="inlineStr">
        <is>
          <t>Amplemarket</t>
        </is>
      </c>
      <c r="D11" s="2" t="inlineStr">
        <is>
          <t>Customer Success</t>
        </is>
      </c>
      <c r="E11" s="2" t="inlineStr">
        <is>
          <t>Worldwide (platform tag)</t>
        </is>
      </c>
      <c r="F11" s="2" t="inlineStr">
        <is>
          <t>$132K-$165K (above target)</t>
        </is>
      </c>
      <c r="G11" s="4" t="inlineStr">
        <is>
          <t>Medium</t>
        </is>
      </c>
      <c r="H11" s="2" t="inlineStr">
        <is>
          <t>CS</t>
        </is>
      </c>
      <c r="I11" s="3" t="inlineStr">
        <is>
          <t>Salary far above target - likely wants more senior background; apply anyway, worst case is no reply.</t>
        </is>
      </c>
      <c r="J11" s="2" t="inlineStr">
        <is>
          <t>Himalayas</t>
        </is>
      </c>
      <c r="K11" s="2" t="inlineStr">
        <is>
          <t>2026-08-10</t>
        </is>
      </c>
      <c r="L11" s="5" t="inlineStr">
        <is>
          <t>https://himalayas.app/companies/amplemarket/jobs/senior-customer-success-manager-1537547831</t>
        </is>
      </c>
      <c r="M11" s="3" t="inlineStr">
        <is>
          <t>Apply via Himalayas listing</t>
        </is>
      </c>
      <c r="N11" s="2" t="inlineStr">
        <is>
          <t>Applied</t>
        </is>
      </c>
      <c r="O11" s="12" t="n">
        <v>46250</v>
      </c>
      <c r="P11" s="3" t="n"/>
    </row>
    <row r="12" ht="25.5" customHeight="1">
      <c r="A12" s="2" t="n">
        <v>11</v>
      </c>
      <c r="B12" s="3" t="inlineStr">
        <is>
          <t>Customer Success Manager, EMEA</t>
        </is>
      </c>
      <c r="C12" s="2" t="inlineStr">
        <is>
          <t>Customer.io</t>
        </is>
      </c>
      <c r="D12" s="2" t="inlineStr">
        <is>
          <t>Customer Success</t>
        </is>
      </c>
      <c r="E12" s="2" t="inlineStr">
        <is>
          <t>EMEA remote</t>
        </is>
      </c>
      <c r="F12" s="2" t="inlineStr">
        <is>
          <t>Not listed</t>
        </is>
      </c>
      <c r="G12" s="4" t="inlineStr">
        <is>
          <t>Medium</t>
        </is>
      </c>
      <c r="H12" s="2" t="inlineStr">
        <is>
          <t>CS</t>
        </is>
      </c>
      <c r="I12" s="3" t="inlineStr">
        <is>
          <t>EMEA scope should include Saudi Arabia - verify on application.</t>
        </is>
      </c>
      <c r="J12" s="2" t="inlineStr">
        <is>
          <t>We Work Remotely</t>
        </is>
      </c>
      <c r="K12" s="2" t="n"/>
      <c r="L12" s="5" t="inlineStr">
        <is>
          <t>https://weworkremotely.com/remote-jobs/customer-io-customer-success-manager-emea</t>
        </is>
      </c>
      <c r="M12" s="3" t="inlineStr">
        <is>
          <t>Apply via WWR listing</t>
        </is>
      </c>
      <c r="N12" s="2" t="inlineStr">
        <is>
          <t>To Review</t>
        </is>
      </c>
      <c r="O12" s="2" t="n"/>
      <c r="P12" s="3" t="inlineStr">
        <is>
          <t>equire UK or Ireland</t>
        </is>
      </c>
    </row>
    <row r="13" ht="25.5" customHeight="1">
      <c r="A13" s="2" t="n">
        <v>12</v>
      </c>
      <c r="B13" s="3" t="inlineStr">
        <is>
          <t>Associate Customer Success Manager</t>
        </is>
      </c>
      <c r="C13" s="2" t="inlineStr">
        <is>
          <t>Deel</t>
        </is>
      </c>
      <c r="D13" s="2" t="inlineStr">
        <is>
          <t>Customer Success</t>
        </is>
      </c>
      <c r="E13" s="2" t="inlineStr">
        <is>
          <t>Worldwide</t>
        </is>
      </c>
      <c r="F13" s="2" t="inlineStr">
        <is>
          <t>Not listed</t>
        </is>
      </c>
      <c r="G13" s="7" t="inlineStr">
        <is>
          <t>High</t>
        </is>
      </c>
      <c r="H13" s="2" t="inlineStr">
        <is>
          <t>CS</t>
        </is>
      </c>
      <c r="I13" s="3" t="inlineStr">
        <is>
          <t>Deel runs its own global EOR infrastructure - structurally the best fit for a Saudi-based hire.</t>
        </is>
      </c>
      <c r="J13" s="2" t="inlineStr">
        <is>
          <t>Remotive</t>
        </is>
      </c>
      <c r="K13" s="2" t="n"/>
      <c r="L13" s="5" t="inlineStr">
        <is>
          <t>https://remotive.com/remote/jobs/customer-service/associate-customer-success-manager-4529059</t>
        </is>
      </c>
      <c r="M13" s="3" t="inlineStr">
        <is>
          <t>Apply via Remotive listing</t>
        </is>
      </c>
      <c r="N13" s="2" t="inlineStr">
        <is>
          <t>Applied</t>
        </is>
      </c>
      <c r="O13" s="12" t="n">
        <v>46249</v>
      </c>
      <c r="P13" s="3" t="n"/>
    </row>
    <row r="14" ht="25.5" customHeight="1">
      <c r="A14" s="2" t="n">
        <v>13</v>
      </c>
      <c r="B14" s="3" t="inlineStr">
        <is>
          <t>Customer Transformation Specialist</t>
        </is>
      </c>
      <c r="C14" s="2" t="inlineStr">
        <is>
          <t>Koronet</t>
        </is>
      </c>
      <c r="D14" s="2" t="inlineStr">
        <is>
          <t>Customer Success</t>
        </is>
      </c>
      <c r="E14" s="2" t="inlineStr">
        <is>
          <t>Worldwide (platform tag)</t>
        </is>
      </c>
      <c r="F14" s="2" t="inlineStr">
        <is>
          <t>Negotiable/DOE</t>
        </is>
      </c>
      <c r="G14" s="4" t="inlineStr">
        <is>
          <t>Medium</t>
        </is>
      </c>
      <c r="H14" s="2" t="inlineStr">
        <is>
          <t>CS</t>
        </is>
      </c>
      <c r="I14" s="3" t="inlineStr">
        <is>
          <t>Floriculture SaaS; verify country eligibility.</t>
        </is>
      </c>
      <c r="J14" s="2" t="inlineStr">
        <is>
          <t>Himalayas</t>
        </is>
      </c>
      <c r="K14" s="2" t="inlineStr">
        <is>
          <t>2026-08-14</t>
        </is>
      </c>
      <c r="L14" s="5" t="inlineStr">
        <is>
          <t>https://himalayas.app/companies/koronet/jobs/customer-transformation-specialist</t>
        </is>
      </c>
      <c r="M14" s="3" t="inlineStr">
        <is>
          <t>Apply via Himalayas listing</t>
        </is>
      </c>
      <c r="N14" s="2" t="inlineStr">
        <is>
          <t>Applied</t>
        </is>
      </c>
      <c r="O14" s="12" t="n">
        <v>46250</v>
      </c>
      <c r="P14" s="3" t="n"/>
    </row>
    <row r="15" ht="25.5" customHeight="1">
      <c r="A15" s="2" t="n">
        <v>14</v>
      </c>
      <c r="B15" s="3" t="inlineStr">
        <is>
          <t>Senior Implementation Consultant</t>
        </is>
      </c>
      <c r="C15" s="2" t="inlineStr">
        <is>
          <t>Cotiviti</t>
        </is>
      </c>
      <c r="D15" s="2" t="inlineStr">
        <is>
          <t>Solution Consultant</t>
        </is>
      </c>
      <c r="E15" s="2" t="inlineStr">
        <is>
          <t>Worldwide (platform tag)</t>
        </is>
      </c>
      <c r="F15" s="2" t="inlineStr">
        <is>
          <t>Not listed</t>
        </is>
      </c>
      <c r="G15" s="4" t="inlineStr">
        <is>
          <t>Medium</t>
        </is>
      </c>
      <c r="H15" s="2" t="inlineStr">
        <is>
          <t>CS</t>
        </is>
      </c>
      <c r="I15" s="3" t="inlineStr">
        <is>
          <t>Healthcare/Edifecs domain; 'Senior' title but ERP implementation background transfers.</t>
        </is>
      </c>
      <c r="J15" s="2" t="inlineStr">
        <is>
          <t>Himalayas</t>
        </is>
      </c>
      <c r="K15" s="2" t="inlineStr">
        <is>
          <t>2026-08-03</t>
        </is>
      </c>
      <c r="L15" s="5" t="inlineStr">
        <is>
          <t>https://himalayas.app/companies/cotiviti/jobs/senior-implementation-consultant</t>
        </is>
      </c>
      <c r="M15" s="3" t="inlineStr">
        <is>
          <t>Apply via Himalayas listing</t>
        </is>
      </c>
      <c r="N15" s="2" t="inlineStr">
        <is>
          <t>To Review</t>
        </is>
      </c>
      <c r="O15" s="2" t="n"/>
      <c r="P15" t="inlineStr">
        <is>
          <t>Healthcare Related</t>
        </is>
      </c>
    </row>
    <row r="16" ht="25.5" customHeight="1">
      <c r="A16" s="2" t="n">
        <v>15</v>
      </c>
      <c r="B16" s="3" t="inlineStr">
        <is>
          <t>Client Implementation Manager</t>
        </is>
      </c>
      <c r="C16" s="2" t="inlineStr">
        <is>
          <t>AffirmedRx, PBC</t>
        </is>
      </c>
      <c r="D16" s="2" t="inlineStr">
        <is>
          <t>Solution Consultant</t>
        </is>
      </c>
      <c r="E16" s="2" t="inlineStr">
        <is>
          <t>Tag says worldwide, but US pharmacy-benefits domain</t>
        </is>
      </c>
      <c r="F16" s="2" t="inlineStr">
        <is>
          <t>Not listed</t>
        </is>
      </c>
      <c r="G16" s="6" t="inlineStr">
        <is>
          <t>Low</t>
        </is>
      </c>
      <c r="H16" s="2" t="inlineStr">
        <is>
          <t>CS</t>
        </is>
      </c>
      <c r="I16" s="3" t="inlineStr">
        <is>
          <t>Likely needs US work eligibility - low probability, deprioritize.</t>
        </is>
      </c>
      <c r="J16" s="2" t="inlineStr">
        <is>
          <t>Himalayas</t>
        </is>
      </c>
      <c r="K16" s="2" t="inlineStr">
        <is>
          <t>2026-07-18</t>
        </is>
      </c>
      <c r="L16" s="5" t="inlineStr">
        <is>
          <t>https://www.himalayas.app/companies/affirmedrx-pbc/jobs/client-implementation-manager</t>
        </is>
      </c>
      <c r="M16" s="3" t="inlineStr">
        <is>
          <t>Apply via Himalayas listing</t>
        </is>
      </c>
      <c r="N16" s="2" t="inlineStr">
        <is>
          <t>To Review</t>
        </is>
      </c>
      <c r="O16" s="2" t="n"/>
      <c r="P16" t="inlineStr">
        <is>
          <t>Healthcare/PBM experience required</t>
        </is>
      </c>
    </row>
    <row r="17" ht="38.25" customHeight="1">
      <c r="A17" s="2" t="n">
        <v>16</v>
      </c>
      <c r="B17" s="3" t="inlineStr">
        <is>
          <t>SAP Business One / Acumatica Project Manager</t>
        </is>
      </c>
      <c r="C17" s="2" t="inlineStr">
        <is>
          <t>Softengine</t>
        </is>
      </c>
      <c r="D17" s="2" t="inlineStr">
        <is>
          <t>Solution Consultant</t>
        </is>
      </c>
      <c r="E17" s="2" t="inlineStr">
        <is>
          <t>Worldwide (platform tag)</t>
        </is>
      </c>
      <c r="F17" s="2" t="inlineStr">
        <is>
          <t>$120K-$140K (above target)</t>
        </is>
      </c>
      <c r="G17" s="6" t="inlineStr">
        <is>
          <t>Low</t>
        </is>
      </c>
      <c r="H17" s="2" t="inlineStr">
        <is>
          <t>CS</t>
        </is>
      </c>
      <c r="I17" s="3" t="inlineStr">
        <is>
          <t>Requires specific SAP B1/Acumatica tool experience candidate doesn't have - long shot.</t>
        </is>
      </c>
      <c r="J17" s="2" t="inlineStr">
        <is>
          <t>Himalayas</t>
        </is>
      </c>
      <c r="K17" s="2" t="inlineStr">
        <is>
          <t>2026-08-06</t>
        </is>
      </c>
      <c r="L17" s="5" t="inlineStr">
        <is>
          <t>https://himalayas.app/companies/softengine/jobs/sap-business-one-acumatica-project-manager</t>
        </is>
      </c>
      <c r="M17" s="3" t="inlineStr">
        <is>
          <t>Apply via Himalayas listing</t>
        </is>
      </c>
      <c r="N17" s="2" t="inlineStr">
        <is>
          <t>To Review</t>
        </is>
      </c>
      <c r="O17" s="2" t="n"/>
      <c r="P17" t="inlineStr">
        <is>
          <t>PMP certification</t>
        </is>
      </c>
    </row>
    <row r="18" ht="25.5" customHeight="1">
      <c r="A18" s="2" t="n">
        <v>17</v>
      </c>
      <c r="B18" s="3" t="inlineStr">
        <is>
          <t>Acumatica Consultant - Manufacturing</t>
        </is>
      </c>
      <c r="C18" s="2" t="inlineStr">
        <is>
          <t>Shield Technology Partners</t>
        </is>
      </c>
      <c r="D18" s="2" t="inlineStr">
        <is>
          <t>Solution Consultant</t>
        </is>
      </c>
      <c r="E18" s="2" t="inlineStr">
        <is>
          <t>Worldwide (platform tag)</t>
        </is>
      </c>
      <c r="F18" s="2" t="inlineStr">
        <is>
          <t>$120K-$150K (above target)</t>
        </is>
      </c>
      <c r="G18" s="6" t="inlineStr">
        <is>
          <t>Low</t>
        </is>
      </c>
      <c r="H18" s="2" t="inlineStr">
        <is>
          <t>CS</t>
        </is>
      </c>
      <c r="I18" s="3" t="inlineStr">
        <is>
          <t>Requires 5+ yrs Acumatica-specific experience - tool mismatch.</t>
        </is>
      </c>
      <c r="J18" s="2" t="inlineStr">
        <is>
          <t>Himalayas</t>
        </is>
      </c>
      <c r="K18" s="2" t="inlineStr">
        <is>
          <t>2026-08-12</t>
        </is>
      </c>
      <c r="L18" s="5" t="inlineStr">
        <is>
          <t>https://himalayas.app/companies/shield-technology-partners/jobs/acumatica-consultant-manufacturing</t>
        </is>
      </c>
      <c r="M18" s="3" t="inlineStr">
        <is>
          <t>Apply via Himalayas listing</t>
        </is>
      </c>
      <c r="N18" s="2" t="inlineStr">
        <is>
          <t>To Review</t>
        </is>
      </c>
      <c r="O18" s="2" t="n"/>
      <c r="P18" t="inlineStr">
        <is>
          <t>7+ years ERP implementation — mandatory</t>
        </is>
      </c>
    </row>
    <row r="19" ht="25.5" customHeight="1">
      <c r="A19" s="2" t="n">
        <v>18</v>
      </c>
      <c r="B19" s="3" t="inlineStr">
        <is>
          <t>SAP BRIM CI Functional Consultant</t>
        </is>
      </c>
      <c r="C19" s="2" t="inlineStr">
        <is>
          <t>Clarity (onClarity)</t>
        </is>
      </c>
      <c r="D19" s="2" t="inlineStr">
        <is>
          <t>Solution Consultant</t>
        </is>
      </c>
      <c r="E19" s="2" t="inlineStr">
        <is>
          <t>Worldwide (platform tag)</t>
        </is>
      </c>
      <c r="F19" s="2" t="inlineStr">
        <is>
          <t>Not listed</t>
        </is>
      </c>
      <c r="G19" s="6" t="inlineStr">
        <is>
          <t>Low</t>
        </is>
      </c>
      <c r="H19" s="2" t="inlineStr">
        <is>
          <t>CS</t>
        </is>
      </c>
      <c r="I19" s="3" t="inlineStr">
        <is>
          <t>Specific SAP BRIM module experience required - tool mismatch.</t>
        </is>
      </c>
      <c r="J19" s="2" t="inlineStr">
        <is>
          <t>Himalayas</t>
        </is>
      </c>
      <c r="K19" s="2" t="inlineStr">
        <is>
          <t>2026-08-07</t>
        </is>
      </c>
      <c r="L19" s="14" t="inlineStr">
        <is>
          <t>https://himalayas.app/companies/onclarity/jobs/sap-brim-ci-functional-consultant</t>
        </is>
      </c>
      <c r="M19" s="3" t="inlineStr">
        <is>
          <t>Apply via Himalayas listing</t>
        </is>
      </c>
      <c r="N19" s="2" t="inlineStr">
        <is>
          <t>Applied</t>
        </is>
      </c>
      <c r="O19" s="12" t="n">
        <v>46250</v>
      </c>
      <c r="P19" s="3" t="n"/>
    </row>
    <row r="20" ht="63.75" customHeight="1">
      <c r="A20" s="2" t="n">
        <v>19</v>
      </c>
      <c r="B20" s="3" t="inlineStr">
        <is>
          <t>SAP BRIM SOM Functional Consultant</t>
        </is>
      </c>
      <c r="C20" s="2" t="inlineStr">
        <is>
          <t>Clarity (onClarity)</t>
        </is>
      </c>
      <c r="D20" s="2" t="inlineStr">
        <is>
          <t>Solution Consultant</t>
        </is>
      </c>
      <c r="E20" s="2" t="inlineStr">
        <is>
          <t>Worldwide (platform tag)</t>
        </is>
      </c>
      <c r="F20" s="2" t="inlineStr">
        <is>
          <t>Not listed</t>
        </is>
      </c>
      <c r="G20" s="6" t="inlineStr">
        <is>
          <t>Low</t>
        </is>
      </c>
      <c r="H20" s="2" t="inlineStr">
        <is>
          <t>CS</t>
        </is>
      </c>
      <c r="I20" s="3" t="inlineStr">
        <is>
          <t>Specific SAP BRIM module experience required - tool mismatch.</t>
        </is>
      </c>
      <c r="J20" s="2" t="inlineStr">
        <is>
          <t>Himalayas</t>
        </is>
      </c>
      <c r="K20" s="2" t="inlineStr">
        <is>
          <t>2026-08-06</t>
        </is>
      </c>
      <c r="L20" s="5" t="inlineStr">
        <is>
          <t>https://himalayas.app/companies/onclarity/jobs/sap-brim-som-functional-consultant</t>
        </is>
      </c>
      <c r="M20" s="3" t="inlineStr">
        <is>
          <t>Apply via Himalayas listing</t>
        </is>
      </c>
      <c r="N20" s="2" t="inlineStr">
        <is>
          <t>To Review</t>
        </is>
      </c>
      <c r="O20" s="2" t="n"/>
      <c r="P20" s="3" t="inlineStr">
        <is>
          <t>Same as: https://himalayas.app/companies/onclarity/jobs/sap-brim-ci-functional-consultant</t>
        </is>
      </c>
    </row>
    <row r="21" ht="25.5" customHeight="1">
      <c r="A21" s="2" t="n">
        <v>20</v>
      </c>
      <c r="B21" s="3" t="inlineStr">
        <is>
          <t>Principal SAP Functional Specialist</t>
        </is>
      </c>
      <c r="C21" s="2" t="inlineStr">
        <is>
          <t>Transcom</t>
        </is>
      </c>
      <c r="D21" s="2" t="inlineStr">
        <is>
          <t>Solution Consultant</t>
        </is>
      </c>
      <c r="E21" s="2" t="inlineStr">
        <is>
          <t>Worldwide (platform tag)</t>
        </is>
      </c>
      <c r="F21" s="2" t="inlineStr">
        <is>
          <t>Not listed</t>
        </is>
      </c>
      <c r="G21" s="6" t="inlineStr">
        <is>
          <t>Low</t>
        </is>
      </c>
      <c r="H21" s="2" t="inlineStr">
        <is>
          <t>CS</t>
        </is>
      </c>
      <c r="I21" s="3" t="inlineStr">
        <is>
          <t>'Principal' level and SAP-specific - likely too senior/specialized.</t>
        </is>
      </c>
      <c r="J21" s="2" t="inlineStr">
        <is>
          <t>Himalayas</t>
        </is>
      </c>
      <c r="K21" s="2" t="inlineStr">
        <is>
          <t>2026-08-12</t>
        </is>
      </c>
      <c r="L21" s="5" t="inlineStr">
        <is>
          <t>https://himalayas.app/companies/transcom/jobs/principal-sap-functional-specialist</t>
        </is>
      </c>
      <c r="M21" s="3" t="inlineStr">
        <is>
          <t>Apply via Himalayas listing</t>
        </is>
      </c>
      <c r="N21" s="2" t="inlineStr">
        <is>
          <t>To Review</t>
        </is>
      </c>
      <c r="O21" s="2" t="n"/>
      <c r="P21" s="3" t="inlineStr">
        <is>
          <t>No JD</t>
        </is>
      </c>
    </row>
    <row r="22" ht="25.5" customHeight="1">
      <c r="A22" s="2" t="n">
        <v>21</v>
      </c>
      <c r="B22" s="3" t="inlineStr">
        <is>
          <t>Solutions Integration Specialist</t>
        </is>
      </c>
      <c r="C22" s="2" t="inlineStr">
        <is>
          <t>VizX Global</t>
        </is>
      </c>
      <c r="D22" s="2" t="inlineStr">
        <is>
          <t>Solution Consultant</t>
        </is>
      </c>
      <c r="E22" s="2" t="inlineStr">
        <is>
          <t>Worldwide (platform tag)</t>
        </is>
      </c>
      <c r="F22" s="2" t="inlineStr">
        <is>
          <t>Not listed</t>
        </is>
      </c>
      <c r="G22" s="4" t="inlineStr">
        <is>
          <t>Medium</t>
        </is>
      </c>
      <c r="H22" s="2" t="inlineStr">
        <is>
          <t>CS</t>
        </is>
      </c>
      <c r="I22" s="3" t="inlineStr">
        <is>
          <t>General implementation/integration skills transfer well.</t>
        </is>
      </c>
      <c r="J22" s="2" t="inlineStr">
        <is>
          <t>Himalayas</t>
        </is>
      </c>
      <c r="K22" s="2" t="inlineStr">
        <is>
          <t>2026-08-04</t>
        </is>
      </c>
      <c r="L22" s="5" t="inlineStr">
        <is>
          <t>https://himalayas.app/companies/vizx-global/jobs/solutions-intergration-specialist</t>
        </is>
      </c>
      <c r="M22" s="3" t="inlineStr">
        <is>
          <t>Apply via Himalayas listing</t>
        </is>
      </c>
      <c r="N22" s="2" t="inlineStr">
        <is>
          <t>To Review</t>
        </is>
      </c>
      <c r="O22" s="2" t="n"/>
      <c r="P22" t="inlineStr">
        <is>
          <t>5+ years IT infrastructure implementation</t>
        </is>
      </c>
    </row>
    <row r="23" ht="25.5" customHeight="1">
      <c r="A23" s="2" t="n">
        <v>22</v>
      </c>
      <c r="B23" s="3" t="inlineStr">
        <is>
          <t>Onboarding Specialist (TFG)</t>
        </is>
      </c>
      <c r="C23" s="2" t="inlineStr">
        <is>
          <t>Strongpoint Partners</t>
        </is>
      </c>
      <c r="D23" s="2" t="inlineStr">
        <is>
          <t>Solution Consultant</t>
        </is>
      </c>
      <c r="E23" s="2" t="inlineStr">
        <is>
          <t>Worldwide (platform tag)</t>
        </is>
      </c>
      <c r="F23" s="2" t="inlineStr">
        <is>
          <t>Not listed</t>
        </is>
      </c>
      <c r="G23" s="4" t="inlineStr">
        <is>
          <t>Medium</t>
        </is>
      </c>
      <c r="H23" s="2" t="inlineStr">
        <is>
          <t>CS</t>
        </is>
      </c>
      <c r="I23" s="3" t="inlineStr">
        <is>
          <t>Onboarding/implementation skills transfer well.</t>
        </is>
      </c>
      <c r="J23" s="2" t="inlineStr">
        <is>
          <t>Himalayas</t>
        </is>
      </c>
      <c r="K23" s="2" t="inlineStr">
        <is>
          <t>2026-08-10</t>
        </is>
      </c>
      <c r="L23" s="5" t="inlineStr">
        <is>
          <t>https://himalayas.app/companies/strongpoint-partners/jobs/onboarding-specialist-tfg</t>
        </is>
      </c>
      <c r="M23" s="3" t="inlineStr">
        <is>
          <t>Apply via Himalayas listing</t>
        </is>
      </c>
      <c r="N23" s="2" t="inlineStr">
        <is>
          <t>To Review</t>
        </is>
      </c>
      <c r="O23" s="2" t="n"/>
      <c r="P23" t="inlineStr">
        <is>
          <t>ERISA and IRS regulations</t>
        </is>
      </c>
    </row>
    <row r="24" ht="25.5" customHeight="1">
      <c r="A24" s="2" t="n">
        <v>23</v>
      </c>
      <c r="B24" s="3" t="inlineStr">
        <is>
          <t>Remote Customer Onboarding Support Specialist</t>
        </is>
      </c>
      <c r="C24" s="2" t="inlineStr">
        <is>
          <t>Spotter Labs</t>
        </is>
      </c>
      <c r="D24" s="2" t="inlineStr">
        <is>
          <t>Solution Consultant</t>
        </is>
      </c>
      <c r="E24" s="2" t="inlineStr">
        <is>
          <t>Worldwide (platform tag)</t>
        </is>
      </c>
      <c r="F24" s="2" t="inlineStr">
        <is>
          <t>$70K-$110K (above target)</t>
        </is>
      </c>
      <c r="G24" s="4" t="inlineStr">
        <is>
          <t>Medium</t>
        </is>
      </c>
      <c r="H24" s="2" t="inlineStr">
        <is>
          <t>CS</t>
        </is>
      </c>
      <c r="I24" s="3" t="inlineStr">
        <is>
          <t>Salary above target but strong skills match on onboarding/support.</t>
        </is>
      </c>
      <c r="J24" s="2" t="inlineStr">
        <is>
          <t>Himalayas</t>
        </is>
      </c>
      <c r="K24" s="2" t="inlineStr">
        <is>
          <t>2026-07-29</t>
        </is>
      </c>
      <c r="L24" s="5" t="inlineStr">
        <is>
          <t>https://himalayas.app/companies/spotter-labs/jobs/remote-customer-onboarding-support-specialist</t>
        </is>
      </c>
      <c r="M24" s="3" t="inlineStr">
        <is>
          <t>Apply via Himalayas listing</t>
        </is>
      </c>
      <c r="N24" s="2" t="inlineStr">
        <is>
          <t>Applied</t>
        </is>
      </c>
      <c r="O24" s="12" t="n">
        <v>46250</v>
      </c>
      <c r="P24" s="3" t="n"/>
    </row>
    <row r="25" ht="25.5" customHeight="1">
      <c r="A25" s="2" t="n">
        <v>24</v>
      </c>
      <c r="B25" s="3" t="inlineStr">
        <is>
          <t>Onboarding Manager</t>
        </is>
      </c>
      <c r="C25" s="2" t="inlineStr">
        <is>
          <t>Choice</t>
        </is>
      </c>
      <c r="D25" s="2" t="inlineStr">
        <is>
          <t>Solution Consultant</t>
        </is>
      </c>
      <c r="E25" s="2" t="inlineStr">
        <is>
          <t>Worldwide (platform tag)</t>
        </is>
      </c>
      <c r="F25" s="2" t="inlineStr">
        <is>
          <t>Not listed</t>
        </is>
      </c>
      <c r="G25" s="4" t="inlineStr">
        <is>
          <t>Medium</t>
        </is>
      </c>
      <c r="H25" s="2" t="inlineStr">
        <is>
          <t>CS</t>
        </is>
      </c>
      <c r="I25" s="3" t="inlineStr">
        <is>
          <t>Verify country eligibility before applying.</t>
        </is>
      </c>
      <c r="J25" s="2" t="inlineStr">
        <is>
          <t>Himalayas</t>
        </is>
      </c>
      <c r="K25" s="2" t="inlineStr">
        <is>
          <t>2026-08-08</t>
        </is>
      </c>
      <c r="L25" s="5" t="inlineStr">
        <is>
          <t>https://himalayas.app/companies/choice/jobs/onboarding-manager</t>
        </is>
      </c>
      <c r="M25" s="3" t="inlineStr">
        <is>
          <t>Apply via Himalayas listing</t>
        </is>
      </c>
      <c r="N25" s="2" t="inlineStr">
        <is>
          <t>To Review</t>
        </is>
      </c>
      <c r="O25" s="2" t="n"/>
      <c r="P25" s="3" t="inlineStr">
        <is>
          <t>Duplicated</t>
        </is>
      </c>
    </row>
    <row r="26" ht="25.5" customHeight="1">
      <c r="A26" s="2" t="n">
        <v>25</v>
      </c>
      <c r="B26" s="3" t="inlineStr">
        <is>
          <t>Technical Support Engineer</t>
        </is>
      </c>
      <c r="C26" s="2" t="inlineStr">
        <is>
          <t>HiddenLayer</t>
        </is>
      </c>
      <c r="D26" s="2" t="inlineStr">
        <is>
          <t>Application Support</t>
        </is>
      </c>
      <c r="E26" s="2" t="inlineStr">
        <is>
          <t>Worldwide (platform tag)</t>
        </is>
      </c>
      <c r="F26" s="2" t="inlineStr">
        <is>
          <t>Not listed</t>
        </is>
      </c>
      <c r="G26" s="4" t="inlineStr">
        <is>
          <t>Medium</t>
        </is>
      </c>
      <c r="H26" s="2" t="inlineStr">
        <is>
          <t>APE</t>
        </is>
      </c>
      <c r="I26" s="3" t="inlineStr">
        <is>
          <t>AI security company but role is generalist technical support - strong skills match.</t>
        </is>
      </c>
      <c r="J26" s="2" t="inlineStr">
        <is>
          <t>Himalayas</t>
        </is>
      </c>
      <c r="K26" s="2" t="inlineStr">
        <is>
          <t>2026-08-15</t>
        </is>
      </c>
      <c r="L26" s="5" t="inlineStr">
        <is>
          <t>https://himalayas.app/companies/hiddenlayer/jobs/technical-support-engineer</t>
        </is>
      </c>
      <c r="M26" s="3" t="inlineStr">
        <is>
          <t>Apply via Himalayas listing</t>
        </is>
      </c>
      <c r="N26" s="2" t="inlineStr">
        <is>
          <t>To Review</t>
        </is>
      </c>
      <c r="O26" s="2" t="n"/>
      <c r="P26" s="15" t="inlineStr">
        <is>
          <t>Direct experience with AI/ML security</t>
        </is>
      </c>
    </row>
    <row r="27" ht="38.25" customHeight="1">
      <c r="A27" s="2" t="n">
        <v>26</v>
      </c>
      <c r="B27" s="3" t="inlineStr">
        <is>
          <t>Customer Support Engineer</t>
        </is>
      </c>
      <c r="C27" s="2" t="inlineStr">
        <is>
          <t>Reality Defender</t>
        </is>
      </c>
      <c r="D27" s="2" t="inlineStr">
        <is>
          <t>Application Support</t>
        </is>
      </c>
      <c r="E27" s="2" t="inlineStr">
        <is>
          <t>Tag worldwide, but EU-timezone anchored</t>
        </is>
      </c>
      <c r="F27" s="2" t="inlineStr">
        <is>
          <t>$40K-$65K (matches target well)</t>
        </is>
      </c>
      <c r="G27" s="7" t="inlineStr">
        <is>
          <t>High</t>
        </is>
      </c>
      <c r="H27" s="2" t="inlineStr">
        <is>
          <t>APE</t>
        </is>
      </c>
      <c r="I27" s="3" t="inlineStr">
        <is>
          <t>Salary lands right in target range - strong candidate, verify EU timezone overlap works from Riyadh.</t>
        </is>
      </c>
      <c r="J27" s="2" t="inlineStr">
        <is>
          <t>Himalayas</t>
        </is>
      </c>
      <c r="K27" s="2" t="inlineStr">
        <is>
          <t>2026-07-10</t>
        </is>
      </c>
      <c r="L27" s="5" t="inlineStr">
        <is>
          <t>https://himalayas.app/companies/reality-defender/jobs/customer-support-engineer</t>
        </is>
      </c>
      <c r="M27" s="3" t="inlineStr">
        <is>
          <t>Apply via Himalayas listing</t>
        </is>
      </c>
      <c r="N27" s="2" t="inlineStr">
        <is>
          <t>To Review</t>
        </is>
      </c>
      <c r="O27" s="2" t="n"/>
      <c r="P27" t="inlineStr">
        <is>
          <t>based in Europe</t>
        </is>
      </c>
    </row>
    <row r="28" ht="38.25" customHeight="1">
      <c r="A28" s="2" t="n">
        <v>27</v>
      </c>
      <c r="B28" s="3" t="inlineStr">
        <is>
          <t>Happiness Engineer - Customer Support &amp; Success</t>
        </is>
      </c>
      <c r="C28" s="2" t="inlineStr">
        <is>
          <t>Automattic (WordPress.com)</t>
        </is>
      </c>
      <c r="D28" s="2" t="inlineStr">
        <is>
          <t>Application Support</t>
        </is>
      </c>
      <c r="E28" s="2" t="inlineStr">
        <is>
          <t>Genuinely global, fully distributed</t>
        </is>
      </c>
      <c r="F28" s="2" t="inlineStr">
        <is>
          <t>$40K-$68K (matches target well)</t>
        </is>
      </c>
      <c r="G28" s="7" t="inlineStr">
        <is>
          <t>High</t>
        </is>
      </c>
      <c r="H28" s="2" t="inlineStr">
        <is>
          <t>APE</t>
        </is>
      </c>
      <c r="I28" s="3" t="inlineStr">
        <is>
          <t>Well-known remote-first employer, salary matches target closely, no location restriction history.</t>
        </is>
      </c>
      <c r="J28" s="2" t="inlineStr">
        <is>
          <t>Automattic / Greenhouse</t>
        </is>
      </c>
      <c r="K28" s="2" t="n"/>
      <c r="L28" s="5" t="inlineStr">
        <is>
          <t>https://job-boards.greenhouse.io/automatticcareers/jobs/6216089</t>
        </is>
      </c>
      <c r="M28" s="3" t="inlineStr">
        <is>
          <t>Apply via Greenhouse</t>
        </is>
      </c>
      <c r="N28" s="2" t="inlineStr">
        <is>
          <t>To Review</t>
        </is>
      </c>
      <c r="O28" s="2" t="n"/>
      <c r="P28" t="inlineStr">
        <is>
          <t>WordPress/WooCommerce experience beyond personal sites</t>
        </is>
      </c>
    </row>
    <row r="29" ht="25.5" customHeight="1">
      <c r="A29" s="2" t="n">
        <v>28</v>
      </c>
      <c r="B29" s="3" t="inlineStr">
        <is>
          <t>Support Engineer (Managed Services)</t>
        </is>
      </c>
      <c r="C29" s="2" t="inlineStr">
        <is>
          <t>DACHS IT</t>
        </is>
      </c>
      <c r="D29" s="2" t="inlineStr">
        <is>
          <t>Application Support</t>
        </is>
      </c>
      <c r="E29" s="2" t="inlineStr">
        <is>
          <t>Worldwide (platform tag)</t>
        </is>
      </c>
      <c r="F29" s="2" t="inlineStr">
        <is>
          <t>Not listed</t>
        </is>
      </c>
      <c r="G29" s="6" t="inlineStr">
        <is>
          <t>Low</t>
        </is>
      </c>
      <c r="H29" s="2" t="inlineStr">
        <is>
          <t>APE</t>
        </is>
      </c>
      <c r="I29" s="3" t="inlineStr">
        <is>
          <t>Requires German language - likely poor fit.</t>
        </is>
      </c>
      <c r="J29" s="2" t="inlineStr">
        <is>
          <t>Himalayas</t>
        </is>
      </c>
      <c r="K29" s="2" t="inlineStr">
        <is>
          <t>2026-08-08</t>
        </is>
      </c>
      <c r="L29" s="5" t="inlineStr">
        <is>
          <t>https://himalayas.app/companies/dachs-it/jobs/support-engineer-managed-services-m-w-d</t>
        </is>
      </c>
      <c r="M29" s="3" t="inlineStr">
        <is>
          <t>Apply via Himalayas listing</t>
        </is>
      </c>
      <c r="N29" s="2" t="inlineStr">
        <is>
          <t>To Review</t>
        </is>
      </c>
      <c r="O29" s="2" t="n"/>
      <c r="P29" s="3" t="inlineStr">
        <is>
          <t>Germeny required</t>
        </is>
      </c>
    </row>
    <row r="30" ht="25.5" customHeight="1">
      <c r="A30" s="2" t="n">
        <v>29</v>
      </c>
      <c r="B30" s="3" t="inlineStr">
        <is>
          <t>L1-L2 Service Desk Engineer</t>
        </is>
      </c>
      <c r="C30" s="2" t="inlineStr">
        <is>
          <t>Growe (iGaming)</t>
        </is>
      </c>
      <c r="D30" s="2" t="inlineStr">
        <is>
          <t>Application Support</t>
        </is>
      </c>
      <c r="E30" s="2" t="inlineStr">
        <is>
          <t>Worldwide (platform tag)</t>
        </is>
      </c>
      <c r="F30" s="2" t="inlineStr">
        <is>
          <t>Not listed</t>
        </is>
      </c>
      <c r="G30" s="4" t="inlineStr">
        <is>
          <t>Medium</t>
        </is>
      </c>
      <c r="H30" s="2" t="inlineStr">
        <is>
          <t>APE</t>
        </is>
      </c>
      <c r="I30" s="3" t="inlineStr">
        <is>
          <t>Entry-level service desk work, should be an easy match.</t>
        </is>
      </c>
      <c r="J30" s="2" t="inlineStr">
        <is>
          <t>Himalayas</t>
        </is>
      </c>
      <c r="K30" s="2" t="inlineStr">
        <is>
          <t>2026-07-19</t>
        </is>
      </c>
      <c r="L30" s="5" t="inlineStr">
        <is>
          <t>https://himalayas.app/companies/growe/jobs/l1-l2-service-desk-engineer</t>
        </is>
      </c>
      <c r="M30" s="3" t="inlineStr">
        <is>
          <t>Apply via Himalayas listing</t>
        </is>
      </c>
      <c r="N30" s="2" t="inlineStr">
        <is>
          <t>To Review</t>
        </is>
      </c>
      <c r="O30" s="2" t="n"/>
      <c r="P30" s="3" t="inlineStr">
        <is>
          <t>Active Directory, SCCM, and VPN</t>
        </is>
      </c>
    </row>
    <row r="31" ht="25.5" customHeight="1">
      <c r="A31" s="2" t="n">
        <v>30</v>
      </c>
      <c r="B31" s="3" t="inlineStr">
        <is>
          <t>IT Support Engineer</t>
        </is>
      </c>
      <c r="C31" s="2" t="inlineStr">
        <is>
          <t>Dwelly</t>
        </is>
      </c>
      <c r="D31" s="2" t="inlineStr">
        <is>
          <t>Application Support</t>
        </is>
      </c>
      <c r="E31" s="2" t="inlineStr">
        <is>
          <t>Worldwide (platform tag)</t>
        </is>
      </c>
      <c r="F31" s="2" t="inlineStr">
        <is>
          <t>Not listed</t>
        </is>
      </c>
      <c r="G31" s="4" t="inlineStr">
        <is>
          <t>Medium</t>
        </is>
      </c>
      <c r="H31" s="2" t="inlineStr">
        <is>
          <t>APE</t>
        </is>
      </c>
      <c r="I31" s="3" t="inlineStr">
        <is>
          <t>Verify country eligibility before applying.</t>
        </is>
      </c>
      <c r="J31" s="2" t="inlineStr">
        <is>
          <t>Himalayas</t>
        </is>
      </c>
      <c r="K31" s="2" t="inlineStr">
        <is>
          <t>2026-07-28</t>
        </is>
      </c>
      <c r="L31" s="5" t="inlineStr">
        <is>
          <t>https://himalayas.app/companies/dwelly/jobs/it-support-engineer</t>
        </is>
      </c>
      <c r="M31" s="3" t="inlineStr">
        <is>
          <t>Apply via Himalayas listing</t>
        </is>
      </c>
      <c r="N31" s="2" t="inlineStr">
        <is>
          <t>To Review</t>
        </is>
      </c>
      <c r="O31" s="2" t="n"/>
      <c r="P31" s="3" t="inlineStr">
        <is>
          <t>Strong networking</t>
        </is>
      </c>
    </row>
    <row r="32" ht="25.5" customHeight="1">
      <c r="A32" s="2" t="n">
        <v>31</v>
      </c>
      <c r="B32" s="3" t="inlineStr">
        <is>
          <t>Product Support Engineer</t>
        </is>
      </c>
      <c r="C32" s="2" t="inlineStr">
        <is>
          <t>CookUnity</t>
        </is>
      </c>
      <c r="D32" s="2" t="inlineStr">
        <is>
          <t>Application Support</t>
        </is>
      </c>
      <c r="E32" s="2" t="inlineStr">
        <is>
          <t>Worldwide (platform tag)</t>
        </is>
      </c>
      <c r="F32" s="2" t="inlineStr">
        <is>
          <t>Not listed</t>
        </is>
      </c>
      <c r="G32" s="4" t="inlineStr">
        <is>
          <t>Medium</t>
        </is>
      </c>
      <c r="H32" s="2" t="inlineStr">
        <is>
          <t>APE</t>
        </is>
      </c>
      <c r="I32" s="3" t="inlineStr">
        <is>
          <t>Verify country eligibility before applying.</t>
        </is>
      </c>
      <c r="J32" s="2" t="inlineStr">
        <is>
          <t>Himalayas</t>
        </is>
      </c>
      <c r="K32" s="2" t="inlineStr">
        <is>
          <t>2026-07-24</t>
        </is>
      </c>
      <c r="L32" s="5" t="inlineStr">
        <is>
          <t>https://himalayas.app/companies/cookunity/jobs/product-support-engineer</t>
        </is>
      </c>
      <c r="M32" s="3" t="inlineStr">
        <is>
          <t>Apply via Himalayas listing</t>
        </is>
      </c>
      <c r="N32" s="2" t="inlineStr">
        <is>
          <t>To Review</t>
        </is>
      </c>
      <c r="O32" s="2" t="n"/>
      <c r="P32" t="inlineStr">
        <is>
          <t>Latin America</t>
        </is>
      </c>
    </row>
    <row r="33" ht="25.5" customHeight="1">
      <c r="A33" s="2" t="n">
        <v>32</v>
      </c>
      <c r="B33" s="3" t="inlineStr">
        <is>
          <t>Product Support Specialist</t>
        </is>
      </c>
      <c r="C33" s="2" t="inlineStr">
        <is>
          <t>Aline</t>
        </is>
      </c>
      <c r="D33" s="2" t="inlineStr">
        <is>
          <t>Application Support</t>
        </is>
      </c>
      <c r="E33" s="2" t="inlineStr">
        <is>
          <t>Worldwide (platform tag)</t>
        </is>
      </c>
      <c r="F33" s="2" t="inlineStr">
        <is>
          <t>Not listed</t>
        </is>
      </c>
      <c r="G33" s="4" t="inlineStr">
        <is>
          <t>Medium</t>
        </is>
      </c>
      <c r="H33" s="2" t="inlineStr">
        <is>
          <t>APE</t>
        </is>
      </c>
      <c r="I33" s="3" t="inlineStr">
        <is>
          <t>Verify country eligibility before applying.</t>
        </is>
      </c>
      <c r="J33" s="2" t="inlineStr">
        <is>
          <t>Himalayas</t>
        </is>
      </c>
      <c r="K33" s="2" t="inlineStr">
        <is>
          <t>2026-08-13</t>
        </is>
      </c>
      <c r="L33" s="5" t="inlineStr">
        <is>
          <t>https://himalayas.app/companies/aline/jobs/support-product-support-specialist-8041571198</t>
        </is>
      </c>
      <c r="M33" s="3" t="inlineStr">
        <is>
          <t>Apply via Himalayas listing</t>
        </is>
      </c>
      <c r="N33" s="2" t="inlineStr">
        <is>
          <t>Applied</t>
        </is>
      </c>
      <c r="O33" s="12" t="n">
        <v>46250</v>
      </c>
      <c r="P33" s="3" t="n"/>
    </row>
    <row r="34" ht="25.5" customHeight="1">
      <c r="A34" s="2" t="n">
        <v>33</v>
      </c>
      <c r="B34" s="3" t="inlineStr">
        <is>
          <t>Manager, Technical Support</t>
        </is>
      </c>
      <c r="C34" s="2" t="inlineStr">
        <is>
          <t>Twilio</t>
        </is>
      </c>
      <c r="D34" s="2" t="inlineStr">
        <is>
          <t>Application Support</t>
        </is>
      </c>
      <c r="E34" s="2" t="inlineStr">
        <is>
          <t>Listed 'Anywhere in World' but open reqs skew India/Colombia</t>
        </is>
      </c>
      <c r="F34" s="2" t="inlineStr">
        <is>
          <t>Not listed</t>
        </is>
      </c>
      <c r="G34" s="6" t="inlineStr">
        <is>
          <t>Low</t>
        </is>
      </c>
      <c r="H34" s="2" t="inlineStr">
        <is>
          <t>APE</t>
        </is>
      </c>
      <c r="I34" s="3" t="inlineStr">
        <is>
          <t>Verify actual region restriction on Twilio's own careers site before applying.</t>
        </is>
      </c>
      <c r="J34" s="2" t="inlineStr">
        <is>
          <t>We Work Remotely</t>
        </is>
      </c>
      <c r="K34" s="2" t="n"/>
      <c r="L34" s="5" t="inlineStr">
        <is>
          <t>https://weworkremotely.com/remote-jobs/twilio-manager-technical-support</t>
        </is>
      </c>
      <c r="M34" s="3" t="inlineStr">
        <is>
          <t>Apply via WWR listing</t>
        </is>
      </c>
      <c r="N34" s="2" t="inlineStr">
        <is>
          <t>To Review</t>
        </is>
      </c>
      <c r="O34" s="2" t="n"/>
      <c r="P34" s="3" t="inlineStr">
        <is>
          <t xml:space="preserve">10+ Years of relevant experience </t>
        </is>
      </c>
    </row>
    <row r="35">
      <c r="A35" t="n">
        <v>34</v>
      </c>
      <c r="B35" t="inlineStr">
        <is>
          <t>Customer Success Engineer</t>
        </is>
      </c>
      <c r="C35" t="inlineStr">
        <is>
          <t>Hightouch</t>
        </is>
      </c>
      <c r="D35" t="inlineStr">
        <is>
          <t>Customer Success</t>
        </is>
      </c>
      <c r="E35" t="inlineStr">
        <is>
          <t>Anywhere in the World (platform tag)</t>
        </is>
      </c>
      <c r="F35" t="inlineStr">
        <is>
          <t>$85,000-$110,000 (well above target)</t>
        </is>
      </c>
      <c r="G35" t="inlineStr">
        <is>
          <t>Medium</t>
        </is>
      </c>
      <c r="H35" t="inlineStr">
        <is>
          <t>CS</t>
        </is>
      </c>
      <c r="I35" t="inlineStr">
        <is>
          <t>Salary far above target - listing includes an E-Verify statement, which usually signals US work-authorization requirement despite the 'Anywhere in the World' tag. Verify on application before investing time.</t>
        </is>
      </c>
      <c r="J35" t="inlineStr">
        <is>
          <t>We Work Remotely</t>
        </is>
      </c>
      <c r="K35" t="inlineStr">
        <is>
          <t>2026-08-16</t>
        </is>
      </c>
      <c r="L35" t="inlineStr">
        <is>
          <t>https://weworkremotely.com/remote-jobs/hightouch-customer-success-engineer</t>
        </is>
      </c>
      <c r="M35" t="inlineStr">
        <is>
          <t>Apply via WWR listing</t>
        </is>
      </c>
      <c r="N35" t="inlineStr">
        <is>
          <t>To Review</t>
        </is>
      </c>
    </row>
    <row r="36">
      <c r="A36" t="n">
        <v>35</v>
      </c>
      <c r="B36" t="inlineStr">
        <is>
          <t>Customer Success Manager</t>
        </is>
      </c>
      <c r="C36" t="inlineStr">
        <is>
          <t>Typeform</t>
        </is>
      </c>
      <c r="D36" t="inlineStr">
        <is>
          <t>Customer Success</t>
        </is>
      </c>
      <c r="E36" t="inlineStr">
        <is>
          <t>Anywhere in the World (platform tag)</t>
        </is>
      </c>
      <c r="F36" t="inlineStr">
        <is>
          <t>$65,000-$95,000 (above target)</t>
        </is>
      </c>
      <c r="G36" t="inlineStr">
        <is>
          <t>Medium</t>
        </is>
      </c>
      <c r="H36" t="inlineStr">
        <is>
          <t>CS</t>
        </is>
      </c>
      <c r="I36" t="inlineStr">
        <is>
          <t>Listing says they're 'especially excited to hire someone based in the ET Timezone' - real-time overlap with US Eastern would be tough from Riyadh; worth a shot but deprioritize timezone-heavy expectations.</t>
        </is>
      </c>
      <c r="J36" t="inlineStr">
        <is>
          <t>We Work Remotely</t>
        </is>
      </c>
      <c r="K36" t="inlineStr">
        <is>
          <t>2026-08-16</t>
        </is>
      </c>
      <c r="L36" t="inlineStr">
        <is>
          <t>https://weworkremotely.com/remote-jobs/typeform-customer-success-manager</t>
        </is>
      </c>
      <c r="M36" t="inlineStr">
        <is>
          <t>Apply via WWR listing</t>
        </is>
      </c>
      <c r="N36" t="inlineStr">
        <is>
          <t>To Review</t>
        </is>
      </c>
    </row>
  </sheetData>
  <autoFilter ref="A1:P34"/>
  <dataValidations count="2">
    <dataValidation sqref="N2:N34" showDropDown="0" showInputMessage="0" showErrorMessage="0" allowBlank="1" type="list">
      <formula1>"To Review,Applied,Interview,Offer,Rejected,Not Pursuing"</formula1>
    </dataValidation>
    <dataValidation sqref="G2:G34" showDropDown="0" showInputMessage="0" showErrorMessage="0" allowBlank="1" type="list">
      <formula1>"High,Medium,Low"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 ht="18" customHeight="1">
      <c r="A1" s="8" t="inlineStr">
        <is>
          <t>Job Search Dashboard</t>
        </is>
      </c>
    </row>
    <row r="3">
      <c r="A3" s="9" t="inlineStr">
        <is>
          <t>Total listings found</t>
        </is>
      </c>
      <c r="B3" s="10">
        <f>COUNTA('Job Tracker'!B2:B36)</f>
        <v/>
      </c>
    </row>
    <row r="4">
      <c r="A4" s="9" t="inlineStr">
        <is>
          <t>High priority</t>
        </is>
      </c>
      <c r="B4" s="10">
        <f>COUNTIF('Job Tracker'!G2:G36,"High")</f>
        <v/>
      </c>
    </row>
    <row r="5">
      <c r="A5" s="9" t="inlineStr">
        <is>
          <t>Medium priority</t>
        </is>
      </c>
      <c r="B5" s="10">
        <f>COUNTIF('Job Tracker'!G2:G36,"Medium")</f>
        <v/>
      </c>
    </row>
    <row r="6">
      <c r="A6" s="9" t="inlineStr">
        <is>
          <t>Low priority</t>
        </is>
      </c>
      <c r="B6" s="10">
        <f>COUNTIF('Job Tracker'!G2:G36,"Low")</f>
        <v/>
      </c>
    </row>
    <row r="7">
      <c r="A7" s="9" t="inlineStr">
        <is>
          <t>Applied so far</t>
        </is>
      </c>
      <c r="B7" s="10">
        <f>COUNTIF('Job Tracker'!N2:N36,"Applied")</f>
        <v/>
      </c>
    </row>
    <row r="8">
      <c r="A8" s="9" t="inlineStr">
        <is>
          <t>Interviews</t>
        </is>
      </c>
      <c r="B8" s="10">
        <f>COUNTIF('Job Tracker'!N2:N36,"Interview")</f>
        <v/>
      </c>
    </row>
    <row r="9">
      <c r="A9" s="9" t="inlineStr">
        <is>
          <t>Offers</t>
        </is>
      </c>
      <c r="B9" s="10">
        <f>COUNTIF('Job Tracker'!N2:N36,"Offer")</f>
        <v/>
      </c>
    </row>
    <row r="10">
      <c r="A10" s="9" t="inlineStr">
        <is>
          <t>Still to review</t>
        </is>
      </c>
      <c r="B10" s="10">
        <f>COUNTIF('Job Tracker'!N2:N36,"To Review")</f>
        <v/>
      </c>
    </row>
    <row r="13" ht="15.75" customHeight="1">
      <c r="A13" s="11" t="inlineStr">
        <is>
          <t>Role bucket breakdown</t>
        </is>
      </c>
    </row>
    <row r="14">
      <c r="A14" s="10" t="inlineStr">
        <is>
          <t>TAM</t>
        </is>
      </c>
      <c r="B14" s="10">
        <f>COUNTIF('Job Tracker'!D2:D36,"TAM")</f>
        <v/>
      </c>
    </row>
    <row r="15">
      <c r="A15" s="10" t="inlineStr">
        <is>
          <t>Customer Success</t>
        </is>
      </c>
      <c r="B15" s="10">
        <f>COUNTIF('Job Tracker'!D2:D36,"Customer Success")</f>
        <v/>
      </c>
    </row>
    <row r="16">
      <c r="A16" s="10" t="inlineStr">
        <is>
          <t>Solution Consultant</t>
        </is>
      </c>
      <c r="B16" s="10">
        <f>COUNTIF('Job Tracker'!D2:D36,"Solution Consultant")</f>
        <v/>
      </c>
    </row>
    <row r="17">
      <c r="A17" s="10" t="inlineStr">
        <is>
          <t>Application Support</t>
        </is>
      </c>
      <c r="B17" s="10">
        <f>COUNTIF('Job Tracker'!D2:D36,"Application Support")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8" customHeight="1">
      <c r="A1" s="8" t="inlineStr">
        <is>
          <t>How to use this tracker</t>
        </is>
      </c>
    </row>
    <row r="2">
      <c r="A2" s="10" t="n"/>
    </row>
    <row r="3">
      <c r="A3" s="10" t="inlineStr">
        <is>
          <t>Job Tracker tab: one row per job listing found on remote job boards, matched to your profile.</t>
        </is>
      </c>
    </row>
    <row r="4">
      <c r="A4" s="10" t="n"/>
    </row>
    <row r="5">
      <c r="A5" s="9" t="inlineStr">
        <is>
          <t>Suggested CV column tells you which resume version to send:</t>
        </is>
      </c>
    </row>
    <row r="6">
      <c r="A6" s="10" t="inlineStr">
        <is>
          <t xml:space="preserve">  TAM  -&gt; TAM.pdf</t>
        </is>
      </c>
    </row>
    <row r="7">
      <c r="A7" s="10" t="inlineStr">
        <is>
          <t xml:space="preserve">  CS   -&gt; CS.pdf (covers both Customer Success and Implementation/Solution Consultant roles)</t>
        </is>
      </c>
    </row>
    <row r="8">
      <c r="A8" s="10" t="inlineStr">
        <is>
          <t xml:space="preserve">  APE  -&gt; APE.pdf</t>
        </is>
      </c>
    </row>
    <row r="9">
      <c r="A9" s="10" t="n"/>
    </row>
    <row r="10">
      <c r="A10" s="10" t="inlineStr">
        <is>
          <t>Priority is based on salary fit to your private target salary (see local notes) and how likely the employer is to hire</t>
        </is>
      </c>
    </row>
    <row r="11">
      <c r="A11" s="10" t="inlineStr">
        <is>
          <t>someone based in your home region. High = strong match on both. Low = tool/domain/language mismatch,</t>
        </is>
      </c>
    </row>
    <row r="12">
      <c r="A12" s="10" t="inlineStr">
        <is>
          <t>salary too far off, or likely region-restricted - deprioritize but don't rule out entirely.</t>
        </is>
      </c>
    </row>
    <row r="13">
      <c r="A13" s="10" t="n"/>
    </row>
    <row r="14">
      <c r="A14" s="10" t="inlineStr">
        <is>
          <t>'Worldwide (platform tag)' in Remote Scope means the job board marks it open to all countries, but</t>
        </is>
      </c>
    </row>
    <row r="15">
      <c r="A15" s="10" t="inlineStr">
        <is>
          <t>this is NOT a guarantee - the employer's own careers page is the source of truth. Check before applying.</t>
        </is>
      </c>
    </row>
    <row r="16">
      <c r="A16" s="10" t="n"/>
    </row>
    <row r="17">
      <c r="A17" s="10" t="inlineStr">
        <is>
          <t>Update the Status column as you go (dropdown: To Review / Applied / Interview / Offer / Rejected /</t>
        </is>
      </c>
    </row>
    <row r="18">
      <c r="A18" s="10" t="inlineStr">
        <is>
          <t>Not Pursuing). The Dashboard tab updates automatically from these statuses.</t>
        </is>
      </c>
    </row>
    <row r="19">
      <c r="A19" s="10" t="n"/>
    </row>
    <row r="20">
      <c r="A20" s="10" t="inlineStr">
        <is>
          <t>Fill in Date Applied and Notes as you work through the list.</t>
        </is>
      </c>
    </row>
    <row r="21">
      <c r="A21" s="10" t="n"/>
    </row>
    <row r="22">
      <c r="A22" s="10" t="inlineStr">
        <is>
          <t>Refreshed on 2026-08-17 (corrected pass - initial automated refresh under-searched; verified directly against board pages).</t>
        </is>
      </c>
    </row>
    <row r="23">
      <c r="A23" s="10" t="inlineStr">
        <is>
          <t>older listings are skipped by design, so the tracker stays current without re-scanning stale posts.</t>
        </is>
      </c>
    </row>
    <row r="24">
      <c r="A24" s="10" t="inlineStr"/>
    </row>
    <row r="25">
      <c r="A25" s="10" t="inlineStr">
        <is>
          <t>Exclusion rules (auto-applied on every refresh, derived from your Notes column - do not re-add these):</t>
        </is>
      </c>
    </row>
    <row r="26">
      <c r="A26" s="10" t="inlineStr">
        <is>
          <t xml:space="preserve">  Language walls: German, Russian, or Ukrainian fluency required.</t>
        </is>
      </c>
    </row>
    <row r="27">
      <c r="A27" s="10" t="inlineStr">
        <is>
          <t xml:space="preserve">  Region locks: US-only, South America/LatAm-only, UK/Ireland-only, Europe-based-only, India/Colombia-skewed reqs.</t>
        </is>
      </c>
    </row>
    <row r="28">
      <c r="A28" s="10" t="inlineStr">
        <is>
          <t xml:space="preserve">  Domain mismatches: Healthcare/PBM-specific, SAP BRIM/B1/Acumatica-specific tooling, AI/ML-security-specific.</t>
        </is>
      </c>
    </row>
    <row r="29">
      <c r="A29" s="10" t="inlineStr">
        <is>
          <t xml:space="preserve">  Seniority/cert walls: PMP mandatory, 7+ or 10+ years mandatory.</t>
        </is>
      </c>
    </row>
    <row r="30">
      <c r="A30" s="10" t="inlineStr">
        <is>
          <t xml:space="preserve">  Closed or expired postings, and exact duplicates of a company+title already in the tracker.</t>
        </is>
      </c>
    </row>
    <row r="31">
      <c r="A31" s="10" t="inlineStr"/>
    </row>
    <row r="32">
      <c r="A32" s="10" t="inlineStr">
        <is>
          <t>When you add a Notes entry that disqualifies a listing (e.g. a new region or language requirement),</t>
        </is>
      </c>
    </row>
    <row r="33">
      <c r="A33" s="10" t="inlineStr">
        <is>
          <t>that reason gets folded into this exclusion list on the next refresh - so flag issues once in Notes</t>
        </is>
      </c>
    </row>
    <row r="34">
      <c r="A34" s="10" t="inlineStr">
        <is>
          <t>and they won't resurface as repeat mistakes in later runs.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2026-08-15T14:53:54Z</dcterms:created>
  <dcterms:modified xsi:type="dcterms:W3CDTF">2026-08-17T06:55:49Z</dcterms:modified>
  <cp:lastModifiedBy>Abdulrahman Khalf</cp:lastModifiedBy>
</cp:coreProperties>
</file>